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2d1f54c4f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362d64161303430c"/>
    <x:sheet xmlns:r="http://schemas.openxmlformats.org/officeDocument/2006/relationships" name="Percentage_Analysis" sheetId="2" r:id="R380ee32a397b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.00%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4" fillId="5" borderId="0" xfId="0" applyNumberFormat="1" applyFont="1" applyFill="1" applyBorder="1"/>
    <x:xf numFmtId="201" fontId="0" fillId="0" borderId="1" xfId="0" applyNumberFormat="1" applyFont="1" applyFill="1" applyBorder="1"/>
    <x:xf numFmtId="201" fontId="4" fillId="5" borderId="1" xfId="0" applyNumberFormat="1" applyFont="1" applyFill="1" applyBorder="1"/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1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4" fillId="5" borderId="7" xfId="0" applyNumberFormat="1" applyFont="1" applyFill="1" applyBorder="1"/>
    <x:xf numFmtId="200" fontId="4" fillId="5" borderId="8" xfId="0" applyNumberFormat="1" applyFont="1" applyFill="1" applyBorder="1"/>
    <x:xf numFmtId="201" fontId="4" fillId="5" borderId="8" xfId="0" applyNumberFormat="1" applyFont="1" applyFill="1" applyBorder="1"/>
    <x:xf numFmtId="200" fontId="4" fillId="5" borderId="9" xfId="0" applyNumberFormat="1" applyFont="1" applyFill="1" applyBorder="1"/>
    <x:xf numFmtId="0" fontId="1" fillId="4" borderId="10" xfId="0" applyNumberFormat="1" applyFont="1" applyFill="1" applyBorder="1" applyAlignment="1">
      <x:alignment horizontal="center" vertical="center"/>
    </x:xf>
    <x:xf numFmtId="0" fontId="1" fillId="4" borderId="11" xfId="0" applyNumberFormat="1" applyFont="1" applyFill="1" applyBorder="1" applyAlignment="1">
      <x:alignment horizontal="center" vertical="center"/>
    </x:xf>
    <x:xf numFmtId="0" fontId="1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4" fillId="5" borderId="15" xfId="0" applyNumberFormat="1" applyFont="1" applyFill="1" applyBorder="1"/>
    <x:xf numFmtId="200" fontId="4" fillId="5" borderId="16" xfId="0" applyNumberFormat="1" applyFont="1" applyFill="1" applyBorder="1"/>
    <x:xf numFmtId="201" fontId="4" fillId="5" borderId="16" xfId="0" applyNumberFormat="1" applyFont="1" applyFill="1" applyBorder="1"/>
    <x:xf numFmtId="200" fontId="4" fillId="5" borderId="17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8" xfId="0" applyNumberFormat="1" applyFont="1" applyFill="1" applyBorder="1" applyAlignment="1">
      <x:alignment horizontal="center"/>
    </x:xf>
    <x:xf numFmtId="0" fontId="1" fillId="6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200" fontId="0" fillId="0" borderId="21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1" fillId="6" borderId="24" xfId="0" applyNumberFormat="1" applyFont="1" applyFill="1" applyBorder="1" applyAlignment="1">
      <x:alignment horizontal="center"/>
    </x:xf>
    <x:xf numFmtId="0" fontId="1" fillId="6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200" fontId="0" fillId="0" borderId="27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201" fontId="0" fillId="0" borderId="29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4" borderId="0" xfId="0" applyNumberFormat="1" applyFont="1" applyFill="1" applyBorder="1"/>
    <x:xf numFmtId="202" fontId="1" fillId="4" borderId="0" xfId="0" applyNumberFormat="1" applyFont="1" applyFill="1" applyBorder="1"/>
    <x:xf numFmtId="202" fontId="1" fillId="4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 vertical="center"/>
    </x:xf>
    <x:xf numFmtId="202" fontId="0" fillId="4" borderId="1" xfId="0" applyNumberFormat="1" applyFont="1" applyFill="1" applyBorder="1"/>
    <x:xf numFmtId="202" fontId="1" fillId="4" borderId="1" xfId="0" applyNumberFormat="1" applyFont="1" applyFill="1" applyBorder="1"/>
    <x:xf numFmtId="202" fontId="1" fillId="4" borderId="1" xfId="0" applyNumberFormat="1" applyFont="1" applyFill="1" applyBorder="1" applyAlignment="1">
      <x:alignment horizontal="center"/>
    </x:xf>
    <x:xf numFmtId="202" fontId="1" fillId="4" borderId="1" xfId="0" applyNumberFormat="1" applyFont="1" applyFill="1" applyBorder="1" applyAlignment="1">
      <x:alignment horizontal="center" vertical="center"/>
    </x:xf>
    <x:xf numFmtId="202" fontId="0" fillId="5" borderId="0" xfId="0" applyNumberFormat="1" applyFont="1" applyFill="1" applyBorder="1"/>
    <x:xf numFmtId="202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527cf659c4dcf" /><Relationship Type="http://schemas.openxmlformats.org/officeDocument/2006/relationships/theme" Target="/xl/theme/theme1.xml" Id="R80167c54c6d44779" /><Relationship Type="http://schemas.openxmlformats.org/officeDocument/2006/relationships/sharedStrings" Target="/xl/sharedStrings.xml" Id="R82181c2985874d4b" /><Relationship Type="http://schemas.openxmlformats.org/officeDocument/2006/relationships/worksheet" Target="/xl/worksheets/sheet1.xml" Id="R362d64161303430c" /><Relationship Type="http://schemas.openxmlformats.org/officeDocument/2006/relationships/worksheet" Target="/xl/worksheets/sheet2.xml" Id="R380ee32a397b41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f2660e74cf46a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Contribution %</c:v>
          </c:tx>
          <c:cat>
            <c:strRef>
              <c:f>'Percentage_Analysis'!$A$5:$A$7</c:f>
              <c:strCache>
                <c:ptCount val="0"/>
              </c:strCache>
            </c:strRef>
          </c:cat>
          <c:val>
            <c:numRef>
              <c:f>'Percentage_Analysis'!$E$5:$E$7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f2660e74cf46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erstoreSalesTable" displayName="SuperstoreSalesTable" ref="A1:D25" headerRowCount="1" totalsRowCount="0" totalsRowShown="0">
  <x:tableColumns count="4">
    <x:tableColumn id="1" name="Order ID"/>
    <x:tableColumn id="2" name="Category"/>
    <x:tableColumn id="3" name="Sub-Category"/>
    <x:tableColumn id="4" name="Sales (₹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15c4a7f7624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ab527f584c141d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4" hidden="0" customWidth="1"/>
  </x:cols>
  <x:sheetData>
    <x:row r="1">
      <x:c r="A1" s="12" t="str">
        <x:v>Order ID</x:v>
      </x:c>
      <x:c r="B1" s="12" t="str">
        <x:v>Category</x:v>
      </x:c>
      <x:c r="C1" s="12" t="str">
        <x:v>Sub-Category</x:v>
      </x:c>
      <x:c r="D1" s="12" t="str">
        <x:v>Sales (₹)</x:v>
      </x:c>
    </x:row>
    <x:row r="2">
      <x:c r="A2" s="13" t="str">
        <x:v>ORD-1001</x:v>
      </x:c>
      <x:c r="B2" s="13" t="str">
        <x:v>Furniture</x:v>
      </x:c>
      <x:c r="C2" s="13" t="str">
        <x:v>Chairs</x:v>
      </x:c>
      <x:c r="D2" s="14" t="n">
        <x:v>1250</x:v>
      </x:c>
    </x:row>
    <x:row r="3">
      <x:c r="A3" s="13" t="str">
        <x:v>ORD-1002</x:v>
      </x:c>
      <x:c r="B3" s="13" t="str">
        <x:v>Office Supplies</x:v>
      </x:c>
      <x:c r="C3" s="13" t="str">
        <x:v>Binders</x:v>
      </x:c>
      <x:c r="D3" s="14" t="n">
        <x:v>640</x:v>
      </x:c>
    </x:row>
    <x:row r="4">
      <x:c r="A4" s="13" t="str">
        <x:v>ORD-1003</x:v>
      </x:c>
      <x:c r="B4" s="13" t="str">
        <x:v>Technology</x:v>
      </x:c>
      <x:c r="C4" s="13" t="str">
        <x:v>Phones</x:v>
      </x:c>
      <x:c r="D4" s="14" t="n">
        <x:v>2100</x:v>
      </x:c>
    </x:row>
    <x:row r="5">
      <x:c r="A5" s="13" t="str">
        <x:v>ORD-1004</x:v>
      </x:c>
      <x:c r="B5" s="13" t="str">
        <x:v>Furniture</x:v>
      </x:c>
      <x:c r="C5" s="13" t="str">
        <x:v>Tables</x:v>
      </x:c>
      <x:c r="D5" s="14" t="n">
        <x:v>1780</x:v>
      </x:c>
    </x:row>
    <x:row r="6">
      <x:c r="A6" s="13" t="str">
        <x:v>ORD-1005</x:v>
      </x:c>
      <x:c r="B6" s="13" t="str">
        <x:v>Office Supplies</x:v>
      </x:c>
      <x:c r="C6" s="13" t="str">
        <x:v>Paper</x:v>
      </x:c>
      <x:c r="D6" s="14" t="n">
        <x:v>520</x:v>
      </x:c>
    </x:row>
    <x:row r="7">
      <x:c r="A7" s="13" t="str">
        <x:v>ORD-1006</x:v>
      </x:c>
      <x:c r="B7" s="13" t="str">
        <x:v>Technology</x:v>
      </x:c>
      <x:c r="C7" s="13" t="str">
        <x:v>Accessories</x:v>
      </x:c>
      <x:c r="D7" s="14" t="n">
        <x:v>960</x:v>
      </x:c>
    </x:row>
    <x:row r="8">
      <x:c r="A8" s="13" t="str">
        <x:v>ORD-1007</x:v>
      </x:c>
      <x:c r="B8" s="13" t="str">
        <x:v>Furniture</x:v>
      </x:c>
      <x:c r="C8" s="13" t="str">
        <x:v>Bookcases</x:v>
      </x:c>
      <x:c r="D8" s="14" t="n">
        <x:v>890</x:v>
      </x:c>
    </x:row>
    <x:row r="9">
      <x:c r="A9" s="13" t="str">
        <x:v>ORD-1008</x:v>
      </x:c>
      <x:c r="B9" s="13" t="str">
        <x:v>Office Supplies</x:v>
      </x:c>
      <x:c r="C9" s="13" t="str">
        <x:v>Storage</x:v>
      </x:c>
      <x:c r="D9" s="14" t="n">
        <x:v>730</x:v>
      </x:c>
    </x:row>
    <x:row r="10">
      <x:c r="A10" s="13" t="str">
        <x:v>ORD-1009</x:v>
      </x:c>
      <x:c r="B10" s="13" t="str">
        <x:v>Technology</x:v>
      </x:c>
      <x:c r="C10" s="13" t="str">
        <x:v>Machines</x:v>
      </x:c>
      <x:c r="D10" s="14" t="n">
        <x:v>1850</x:v>
      </x:c>
    </x:row>
    <x:row r="11">
      <x:c r="A11" s="13" t="str">
        <x:v>ORD-1010</x:v>
      </x:c>
      <x:c r="B11" s="13" t="str">
        <x:v>Furniture</x:v>
      </x:c>
      <x:c r="C11" s="13" t="str">
        <x:v>Furnishings</x:v>
      </x:c>
      <x:c r="D11" s="14" t="n">
        <x:v>610</x:v>
      </x:c>
    </x:row>
    <x:row r="12">
      <x:c r="A12" s="13" t="str">
        <x:v>ORD-1011</x:v>
      </x:c>
      <x:c r="B12" s="13" t="str">
        <x:v>Office Supplies</x:v>
      </x:c>
      <x:c r="C12" s="13" t="str">
        <x:v>Appliances</x:v>
      </x:c>
      <x:c r="D12" s="14" t="n">
        <x:v>810</x:v>
      </x:c>
    </x:row>
    <x:row r="13">
      <x:c r="A13" s="13" t="str">
        <x:v>ORD-1012</x:v>
      </x:c>
      <x:c r="B13" s="13" t="str">
        <x:v>Technology</x:v>
      </x:c>
      <x:c r="C13" s="13" t="str">
        <x:v>Copiers</x:v>
      </x:c>
      <x:c r="D13" s="14" t="n">
        <x:v>2440</x:v>
      </x:c>
    </x:row>
    <x:row r="14">
      <x:c r="A14" s="13" t="str">
        <x:v>ORD-1013</x:v>
      </x:c>
      <x:c r="B14" s="13" t="str">
        <x:v>Furniture</x:v>
      </x:c>
      <x:c r="C14" s="13" t="str">
        <x:v>Chairs</x:v>
      </x:c>
      <x:c r="D14" s="14" t="n">
        <x:v>1420</x:v>
      </x:c>
    </x:row>
    <x:row r="15">
      <x:c r="A15" s="13" t="str">
        <x:v>ORD-1014</x:v>
      </x:c>
      <x:c r="B15" s="13" t="str">
        <x:v>Office Supplies</x:v>
      </x:c>
      <x:c r="C15" s="13" t="str">
        <x:v>Labels</x:v>
      </x:c>
      <x:c r="D15" s="14" t="n">
        <x:v>360</x:v>
      </x:c>
    </x:row>
    <x:row r="16">
      <x:c r="A16" s="13" t="str">
        <x:v>ORD-1015</x:v>
      </x:c>
      <x:c r="B16" s="13" t="str">
        <x:v>Technology</x:v>
      </x:c>
      <x:c r="C16" s="13" t="str">
        <x:v>Phones</x:v>
      </x:c>
      <x:c r="D16" s="14" t="n">
        <x:v>1980</x:v>
      </x:c>
    </x:row>
    <x:row r="17">
      <x:c r="A17" s="13" t="str">
        <x:v>ORD-1016</x:v>
      </x:c>
      <x:c r="B17" s="13" t="str">
        <x:v>Furniture</x:v>
      </x:c>
      <x:c r="C17" s="13" t="str">
        <x:v>Tables</x:v>
      </x:c>
      <x:c r="D17" s="14" t="n">
        <x:v>1650</x:v>
      </x:c>
    </x:row>
    <x:row r="18">
      <x:c r="A18" s="13" t="str">
        <x:v>ORD-1017</x:v>
      </x:c>
      <x:c r="B18" s="13" t="str">
        <x:v>Office Supplies</x:v>
      </x:c>
      <x:c r="C18" s="13" t="str">
        <x:v>Binders</x:v>
      </x:c>
      <x:c r="D18" s="14" t="n">
        <x:v>590</x:v>
      </x:c>
    </x:row>
    <x:row r="19">
      <x:c r="A19" s="13" t="str">
        <x:v>ORD-1018</x:v>
      </x:c>
      <x:c r="B19" s="13" t="str">
        <x:v>Technology</x:v>
      </x:c>
      <x:c r="C19" s="13" t="str">
        <x:v>Accessories</x:v>
      </x:c>
      <x:c r="D19" s="14" t="n">
        <x:v>1120</x:v>
      </x:c>
    </x:row>
    <x:row r="20">
      <x:c r="A20" s="13" t="str">
        <x:v>ORD-1019</x:v>
      </x:c>
      <x:c r="B20" s="13" t="str">
        <x:v>Furniture</x:v>
      </x:c>
      <x:c r="C20" s="13" t="str">
        <x:v>Bookcases</x:v>
      </x:c>
      <x:c r="D20" s="14" t="n">
        <x:v>960</x:v>
      </x:c>
    </x:row>
    <x:row r="21">
      <x:c r="A21" s="13" t="str">
        <x:v>ORD-1020</x:v>
      </x:c>
      <x:c r="B21" s="13" t="str">
        <x:v>Office Supplies</x:v>
      </x:c>
      <x:c r="C21" s="13" t="str">
        <x:v>Storage</x:v>
      </x:c>
      <x:c r="D21" s="14" t="n">
        <x:v>780</x:v>
      </x:c>
    </x:row>
    <x:row r="22">
      <x:c r="A22" s="13" t="str">
        <x:v>ORD-1021</x:v>
      </x:c>
      <x:c r="B22" s="13" t="str">
        <x:v>Technology</x:v>
      </x:c>
      <x:c r="C22" s="13" t="str">
        <x:v>Machines</x:v>
      </x:c>
      <x:c r="D22" s="14" t="n">
        <x:v>1720</x:v>
      </x:c>
    </x:row>
    <x:row r="23">
      <x:c r="A23" s="13" t="str">
        <x:v>ORD-1022</x:v>
      </x:c>
      <x:c r="B23" s="13" t="str">
        <x:v>Furniture</x:v>
      </x:c>
      <x:c r="C23" s="13" t="str">
        <x:v>Furnishings</x:v>
      </x:c>
      <x:c r="D23" s="14" t="n">
        <x:v>690</x:v>
      </x:c>
    </x:row>
    <x:row r="24">
      <x:c r="A24" s="13" t="str">
        <x:v>ORD-1023</x:v>
      </x:c>
      <x:c r="B24" s="13" t="str">
        <x:v>Office Supplies</x:v>
      </x:c>
      <x:c r="C24" s="13" t="str">
        <x:v>Paper</x:v>
      </x:c>
      <x:c r="D24" s="14" t="n">
        <x:v>560</x:v>
      </x:c>
    </x:row>
    <x:row r="25">
      <x:c r="A25" s="13" t="str">
        <x:v>ORD-1024</x:v>
      </x:c>
      <x:c r="B25" s="13" t="str">
        <x:v>Technology</x:v>
      </x:c>
      <x:c r="C25" s="13" t="str">
        <x:v>Copiers</x:v>
      </x:c>
      <x:c r="D25" s="14" t="n">
        <x:v>2310</x:v>
      </x:c>
    </x:row>
  </x:sheetData>
  <x:pageMargins left="0.7" right="0.7" top="0.75" bottom="0.75" header="0.3" footer="0.3"/>
  <x:tableParts count="1">
    <x:tablePart xmlns:r="http://schemas.openxmlformats.org/officeDocument/2006/relationships" r:id="R8615c4a7f7624d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8" hidden="0" customWidth="1"/>
    <x:col min="4" max="4" width="16" hidden="0" customWidth="1"/>
    <x:col min="6" max="6" width="27" hidden="0" customWidth="1"/>
    <x:col min="7" max="7" width="18" hidden="0" customWidth="1"/>
    <x:col min="5" max="5" width="18" hidden="0" customWidth="1"/>
  </x:cols>
  <x:sheetData>
    <x:row r="1">
      <x:c r="A1" s="21" t="str">
        <x:v>Task 28 – Simple Percentage Analysis</x:v>
      </x:c>
      <x:c r="B1" s="21"/>
      <x:c r="C1" s="21"/>
      <x:c r="D1" s="21"/>
    </x:row>
    <x:row r="2">
      <x:c r="A2" s="27" t="str">
        <x:v>Contribution percentage = Category Sales ÷ Total Sales</x:v>
      </x:c>
      <x:c r="B2" s="27"/>
      <x:c r="C2" s="27"/>
      <x:c r="D2" s="27"/>
    </x:row>
    <x:row r="4">
      <x:c r="A4" s="48" t="str">
        <x:v>Category</x:v>
      </x:c>
      <x:c r="B4" s="49" t="str">
        <x:v>Sales (₹)</x:v>
      </x:c>
      <x:c r="C4" s="49" t="str">
        <x:v>Contribution %</x:v>
      </x:c>
      <x:c r="D4" s="50" t="str">
        <x:v>Denominator</x:v>
      </x:c>
      <x:c r="E4" s="91" t="str">
        <x:v>Chart Value (%)</x:v>
      </x:c>
      <x:c r="F4" s="72" t="str">
        <x:v>Metric</x:v>
      </x:c>
      <x:c r="G4" s="73" t="str">
        <x:v>Value</x:v>
      </x:c>
    </x:row>
    <x:row r="5">
      <x:c r="A5" s="51" t="str">
        <x:v>Furniture</x:v>
      </x:c>
      <x:c r="B5" s="10" t="n">
        <x:f>SUMIF(Raw_Data!$B$2:$B$25,A5,Raw_Data!$D$2:$D$25)</x:f>
        <x:v>9250</x:v>
      </x:c>
      <x:c r="C5" s="44" t="n">
        <x:f>B5/$B$8</x:f>
        <x:v>0.32207520891364905</x:v>
      </x:c>
      <x:c r="D5" s="52" t="n">
        <x:f>$B$8</x:f>
        <x:v>28720</x:v>
      </x:c>
      <x:c r="E5" s="86" t="n">
        <x:f>C5*100</x:f>
        <x:v>32.20752089136491</x:v>
      </x:c>
      <x:c r="F5" s="74" t="str">
        <x:v>Total Sales</x:v>
      </x:c>
      <x:c r="G5" s="75" t="n">
        <x:f>B8</x:f>
        <x:v>28720</x:v>
      </x:c>
    </x:row>
    <x:row r="6">
      <x:c r="A6" s="51" t="str">
        <x:v>Office Supplies</x:v>
      </x:c>
      <x:c r="B6" s="10" t="n">
        <x:f>SUMIF(Raw_Data!$B$2:$B$25,A6,Raw_Data!$D$2:$D$25)</x:f>
        <x:v>4990</x:v>
      </x:c>
      <x:c r="C6" s="44" t="n">
        <x:f>B6/$B$8</x:f>
        <x:v>0.1737465181058496</x:v>
      </x:c>
      <x:c r="D6" s="52" t="n">
        <x:f>$B$8</x:f>
        <x:v>28720</x:v>
      </x:c>
      <x:c r="E6" s="86" t="n">
        <x:f>C6*100</x:f>
        <x:v>17.37465181058496</x:v>
      </x:c>
      <x:c r="F6" s="74" t="str">
        <x:v>Top Category</x:v>
      </x:c>
      <x:c r="G6" s="76" t="str">
        <x:f>INDEX(A5:A7,MATCH(MAX(C5:C7),C5:C7,0))</x:f>
        <x:v>Technology</x:v>
      </x:c>
    </x:row>
    <x:row r="7">
      <x:c r="A7" s="51" t="str">
        <x:v>Technology</x:v>
      </x:c>
      <x:c r="B7" s="10" t="n">
        <x:f>SUMIF(Raw_Data!$B$2:$B$25,A7,Raw_Data!$D$2:$D$25)</x:f>
        <x:v>14480</x:v>
      </x:c>
      <x:c r="C7" s="44" t="n">
        <x:f>B7/$B$8</x:f>
        <x:v>0.5041782729805014</x:v>
      </x:c>
      <x:c r="D7" s="52" t="n">
        <x:f>$B$8</x:f>
        <x:v>28720</x:v>
      </x:c>
      <x:c r="E7" s="86" t="n">
        <x:f>C7*100</x:f>
        <x:v>50.41782729805014</x:v>
      </x:c>
      <x:c r="F7" s="77" t="str">
        <x:v>Check: Contribution Total</x:v>
      </x:c>
      <x:c r="G7" s="78" t="n">
        <x:f>C8</x:f>
        <x:v>1</x:v>
      </x:c>
    </x:row>
    <x:row r="8">
      <x:c r="A8" s="53" t="str">
        <x:v>Grand Total</x:v>
      </x:c>
      <x:c r="B8" s="54" t="n">
        <x:f>SUM(B5:B7)</x:f>
        <x:v>28720</x:v>
      </x:c>
      <x:c r="C8" s="55" t="n">
        <x:f>SUM(C5:C7)</x:f>
        <x:v>1</x:v>
      </x:c>
      <x:c r="D8" s="56" t="n">
        <x:f>$B$8</x:f>
        <x:v>28720</x:v>
      </x:c>
      <x:c r="E8" s="97" t="n">
        <x:f>SUM(E5:E7)</x:f>
        <x:v>100.00000000000001</x:v>
      </x:c>
    </x:row>
  </x:sheetData>
  <x:mergeCells>
    <x:mergeCell ref="A1:D1"/>
    <x:mergeCell ref="A2:D2"/>
  </x:mergeCells>
  <x:conditionalFormatting sqref="C5:C7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{7F213AF7-0C16-33DA-E63A-54084FAB41EA}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ab527f584c141d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213AF7-0C16-33DA-E63A-54084FAB41EA}">
            <x14:dataBar gradient="1">
              <x14:cfvo type="min"/>
              <x14:cfvo type="max"/>
              <x14:fillColor rgb="FF5B9BD5"/>
            </x14:dataBar>
          </x14:cfRule>
          <xm:sqref>C5:C7</xm:sqref>
        </x14:conditionalFormatting>
      </x14:conditionalFormattings>
    </x:ext>
  </x:extLst>
</x:worksheet>
</file>